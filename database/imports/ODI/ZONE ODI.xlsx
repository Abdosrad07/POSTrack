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583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8" i="1" l="1"/>
  <c r="J78" i="1"/>
</calcChain>
</file>

<file path=xl/sharedStrings.xml><?xml version="1.0" encoding="utf-8"?>
<sst xmlns="http://schemas.openxmlformats.org/spreadsheetml/2006/main" count="385" uniqueCount="250">
  <si>
    <t>SN</t>
  </si>
  <si>
    <t>PARTNERS</t>
  </si>
  <si>
    <t>BTS CODE NAME</t>
  </si>
  <si>
    <t>PROMINENT SITES</t>
  </si>
  <si>
    <t>BOUNDARIES</t>
  </si>
  <si>
    <t>QUARTER</t>
  </si>
  <si>
    <t>STREET</t>
  </si>
  <si>
    <t>RADIUS</t>
  </si>
  <si>
    <t>GPS COORDINATES</t>
  </si>
  <si>
    <t>COVERAGE (Km²)</t>
  </si>
  <si>
    <t>CAPACITY</t>
  </si>
  <si>
    <t>TRAFFIC VOLUME(GB)</t>
  </si>
  <si>
    <t>POS</t>
  </si>
  <si>
    <t>ODI</t>
  </si>
  <si>
    <t>DLA033</t>
  </si>
  <si>
    <t>JAPOMA LYCEE</t>
  </si>
  <si>
    <t>N= Japoma District Hospital</t>
  </si>
  <si>
    <t>JAPOMA</t>
  </si>
  <si>
    <t>Rue Petit Chateau</t>
  </si>
  <si>
    <t>734m</t>
  </si>
  <si>
    <t>.1.1</t>
  </si>
  <si>
    <t>2700 Channels</t>
  </si>
  <si>
    <t>E=Ecole Bilingue</t>
  </si>
  <si>
    <t>Rue Ecole Bilingue</t>
  </si>
  <si>
    <t>663m</t>
  </si>
  <si>
    <t>S= Opiom Lounge</t>
  </si>
  <si>
    <t>Rue Express Union</t>
  </si>
  <si>
    <t>642m</t>
  </si>
  <si>
    <t>W= esidence Makon</t>
  </si>
  <si>
    <t>Carrefour bien -aime</t>
  </si>
  <si>
    <t>573m</t>
  </si>
  <si>
    <t>DLA034</t>
  </si>
  <si>
    <t>Pont Bascule</t>
  </si>
  <si>
    <t>N= Garden Movie</t>
  </si>
  <si>
    <t>YASSA</t>
  </si>
  <si>
    <t>Rue Green HUS Hotel</t>
  </si>
  <si>
    <t>560m</t>
  </si>
  <si>
    <t>4.00047 9.81578</t>
  </si>
  <si>
    <t>E=SOREPCO</t>
  </si>
  <si>
    <t>N3</t>
  </si>
  <si>
    <t>S= Hopital St, Jean de Dieu</t>
  </si>
  <si>
    <t>Rue Hopital St Jean</t>
  </si>
  <si>
    <t>647m</t>
  </si>
  <si>
    <t>W= AZUR SA</t>
  </si>
  <si>
    <t>414m</t>
  </si>
  <si>
    <t>DLA035</t>
  </si>
  <si>
    <t>St Tropez</t>
  </si>
  <si>
    <t>N= TRADEX Village</t>
  </si>
  <si>
    <t>VILLAGE-Boko</t>
  </si>
  <si>
    <t>631m</t>
  </si>
  <si>
    <t>3.992519 9.76778</t>
  </si>
  <si>
    <t>E=Le COMBATTANT</t>
  </si>
  <si>
    <t>658m</t>
  </si>
  <si>
    <t>S= Ecole Polyvalent St. Louise</t>
  </si>
  <si>
    <t>545m</t>
  </si>
  <si>
    <t>W= Hospital Deo Gracias</t>
  </si>
  <si>
    <t>582m</t>
  </si>
  <si>
    <t>DLA037</t>
  </si>
  <si>
    <t>TOTAL Mbanga Bakoko _Yassavillage</t>
  </si>
  <si>
    <t>N= MAISON</t>
  </si>
  <si>
    <t>YASSA Village</t>
  </si>
  <si>
    <t>Bd de Pharmacie</t>
  </si>
  <si>
    <t>1Km</t>
  </si>
  <si>
    <t>4.0178 9.79623</t>
  </si>
  <si>
    <t>E=Maison Nkolbong</t>
  </si>
  <si>
    <t>Carrefour Nkolbong</t>
  </si>
  <si>
    <t>S= Complexe 2 Luxe VIP</t>
  </si>
  <si>
    <t>W= Paroisse St.Corneille</t>
  </si>
  <si>
    <t>YASSA Nkolbong</t>
  </si>
  <si>
    <t>Carrefour Matango</t>
  </si>
  <si>
    <t>DLA041</t>
  </si>
  <si>
    <t>SONEL Ndogpassi</t>
  </si>
  <si>
    <t>N= Gp Scolaire La Bravoure</t>
  </si>
  <si>
    <t>NDOGPASSI</t>
  </si>
  <si>
    <t>530m</t>
  </si>
  <si>
    <t>4.0021 9.76741</t>
  </si>
  <si>
    <t>700 Channels</t>
  </si>
  <si>
    <t>E=EDM de Nyala</t>
  </si>
  <si>
    <t>NYALLA</t>
  </si>
  <si>
    <t>563m</t>
  </si>
  <si>
    <t>S= TRADEX Village</t>
  </si>
  <si>
    <t>VILLAGE</t>
  </si>
  <si>
    <t>556m</t>
  </si>
  <si>
    <t>W= Ecole Small Marias</t>
  </si>
  <si>
    <t>Carrefour Chicago</t>
  </si>
  <si>
    <t>444m</t>
  </si>
  <si>
    <t>DLA042</t>
  </si>
  <si>
    <t>Ceramic Sarl, Ndogpassi</t>
  </si>
  <si>
    <t>N= Centre Sante Le Bon Samaritan</t>
  </si>
  <si>
    <t>Rue BOCOM Ndogpassi</t>
  </si>
  <si>
    <t>702m</t>
  </si>
  <si>
    <t>4.02351 9.76481</t>
  </si>
  <si>
    <t>E= CETI/CPT - StadeMycovano</t>
  </si>
  <si>
    <t>Rue ASCARON</t>
  </si>
  <si>
    <t>793m</t>
  </si>
  <si>
    <t>S= Stade Manoic</t>
  </si>
  <si>
    <t>Rue Stade Manoic</t>
  </si>
  <si>
    <t>721m</t>
  </si>
  <si>
    <t>W= Residence Familiale KOWA</t>
  </si>
  <si>
    <t>Carrefour Chefferie Ndogpassi</t>
  </si>
  <si>
    <t>690m</t>
  </si>
  <si>
    <t>DLA047</t>
  </si>
  <si>
    <t>Ndogpassi Ecole</t>
  </si>
  <si>
    <t>N= MEUBOU HOME</t>
  </si>
  <si>
    <t>Rond Point Entrée BILLE</t>
  </si>
  <si>
    <t>539m</t>
  </si>
  <si>
    <t>4.00435 9.7464</t>
  </si>
  <si>
    <t>E=EEC Cite Berge</t>
  </si>
  <si>
    <t>Car. Mille Problemes</t>
  </si>
  <si>
    <t>660m</t>
  </si>
  <si>
    <t>S= AsD Fire Ministry</t>
  </si>
  <si>
    <t>Rue Cite Berge</t>
  </si>
  <si>
    <t>740m</t>
  </si>
  <si>
    <t>W= General Voyage</t>
  </si>
  <si>
    <t>656m</t>
  </si>
  <si>
    <t>DLA070</t>
  </si>
  <si>
    <t>Pylone - Nylon</t>
  </si>
  <si>
    <t>N= Mosque AL RAWDAH</t>
  </si>
  <si>
    <t>DAKAR - Nylon</t>
  </si>
  <si>
    <t>RuebMosquee</t>
  </si>
  <si>
    <t>641m</t>
  </si>
  <si>
    <t>4.026010, 9.734670</t>
  </si>
  <si>
    <t>E= General Express</t>
  </si>
  <si>
    <t>BRAZZAVILLE</t>
  </si>
  <si>
    <t>Rond Point Dakar</t>
  </si>
  <si>
    <t>653m</t>
  </si>
  <si>
    <t>S= EEC Soboum</t>
  </si>
  <si>
    <t>575m</t>
  </si>
  <si>
    <t>W= ELSA Bureatique</t>
  </si>
  <si>
    <t>BASSA -Oyack</t>
  </si>
  <si>
    <t>533m</t>
  </si>
  <si>
    <t>DLA179</t>
  </si>
  <si>
    <t>Bobongo ITBA</t>
  </si>
  <si>
    <t>N= The Church of Jesus Christ of latter day Saints</t>
  </si>
  <si>
    <t>AEROPORT</t>
  </si>
  <si>
    <t>519m</t>
  </si>
  <si>
    <t>4.00862 9.73732</t>
  </si>
  <si>
    <t xml:space="preserve">E= JET Hotel, ELF </t>
  </si>
  <si>
    <t>551m</t>
  </si>
  <si>
    <t>S= Residence ZEN Pascal</t>
  </si>
  <si>
    <t>552m</t>
  </si>
  <si>
    <t>W= Pharmacie Shell Village</t>
  </si>
  <si>
    <t>542m</t>
  </si>
  <si>
    <t>DLA180</t>
  </si>
  <si>
    <t>Cimetriere Bodjongo</t>
  </si>
  <si>
    <t>N=Agrocam</t>
  </si>
  <si>
    <t>NDOBO</t>
  </si>
  <si>
    <t>826m</t>
  </si>
  <si>
    <t>4.08908 9.61897</t>
  </si>
  <si>
    <t>E=Ecole Ma²a Tho</t>
  </si>
  <si>
    <t>816m</t>
  </si>
  <si>
    <t>S= SOP DECOR</t>
  </si>
  <si>
    <t>W= Alpha n Omega School</t>
  </si>
  <si>
    <t>891m</t>
  </si>
  <si>
    <t>DLA189</t>
  </si>
  <si>
    <t>Cogefar_II_IHS</t>
  </si>
  <si>
    <t>DLA220</t>
  </si>
  <si>
    <t>EEC Ndogpassi3</t>
  </si>
  <si>
    <t>N= Institute Polyvalent NANO 2</t>
  </si>
  <si>
    <t>Rue Gaz Cameroun</t>
  </si>
  <si>
    <t>700m</t>
  </si>
  <si>
    <t>4.00844 9.75682</t>
  </si>
  <si>
    <t xml:space="preserve">E= Tresor Voyage </t>
  </si>
  <si>
    <t>682m</t>
  </si>
  <si>
    <t>S= Marche Ndogpassi</t>
  </si>
  <si>
    <t>657m</t>
  </si>
  <si>
    <t>W= Lycee Technique de NYLON</t>
  </si>
  <si>
    <t>BASSA Nylon</t>
  </si>
  <si>
    <t>Rue Lycee Technique</t>
  </si>
  <si>
    <t>650m</t>
  </si>
  <si>
    <t>DLA221</t>
  </si>
  <si>
    <t>Ecole le Bon Samarittan  ZR2</t>
  </si>
  <si>
    <t>N= Hospital Notre Dame Misericorde</t>
  </si>
  <si>
    <t>Rue hopital Notre Dame</t>
  </si>
  <si>
    <t>735m</t>
  </si>
  <si>
    <t>4.01228 9.77811</t>
  </si>
  <si>
    <t>E= COROM</t>
  </si>
  <si>
    <t>Rue ENEO Ndogpassi</t>
  </si>
  <si>
    <t>485m</t>
  </si>
  <si>
    <t xml:space="preserve">S= Sylvain TALLA </t>
  </si>
  <si>
    <t>Rue College Herphil</t>
  </si>
  <si>
    <t>W= Residence DEMANOU</t>
  </si>
  <si>
    <t>Rue Chateau Nyalla</t>
  </si>
  <si>
    <t>671m</t>
  </si>
  <si>
    <t>DLA239</t>
  </si>
  <si>
    <t>College KOUALONG Zone_Papass</t>
  </si>
  <si>
    <t>N= Kenny House</t>
  </si>
  <si>
    <t>PK14</t>
  </si>
  <si>
    <t>P14</t>
  </si>
  <si>
    <t>549m</t>
  </si>
  <si>
    <t>4.07672, 9.80161</t>
  </si>
  <si>
    <t>1700 Channels</t>
  </si>
  <si>
    <t>E= MOSQUE</t>
  </si>
  <si>
    <t>S= Ecole Publique</t>
  </si>
  <si>
    <t>PK12</t>
  </si>
  <si>
    <t>Rue Ecole Publique PK12</t>
  </si>
  <si>
    <t>813m</t>
  </si>
  <si>
    <t>W= Scolaire Guoaguia</t>
  </si>
  <si>
    <t>Rue Ecole Guoaguia</t>
  </si>
  <si>
    <t>950m</t>
  </si>
  <si>
    <t>DLA272</t>
  </si>
  <si>
    <t>JAPOMA STADE</t>
  </si>
  <si>
    <t>N= GUEES HOUSE</t>
  </si>
  <si>
    <t xml:space="preserve">YASSA </t>
  </si>
  <si>
    <t>424m</t>
  </si>
  <si>
    <t>4.0003363 9.822783</t>
  </si>
  <si>
    <t>E= Resto de Stade Japoma</t>
  </si>
  <si>
    <t>366m</t>
  </si>
  <si>
    <t>S= HOKA Industrie</t>
  </si>
  <si>
    <t>Rue Entrée Stade Principal</t>
  </si>
  <si>
    <t>546m</t>
  </si>
  <si>
    <t>W= CEPEC Stade Japoma</t>
  </si>
  <si>
    <t>268m</t>
  </si>
  <si>
    <t>DLA274</t>
  </si>
  <si>
    <t>Stade Japoma indoor01</t>
  </si>
  <si>
    <t>No data</t>
  </si>
  <si>
    <t>DLA275</t>
  </si>
  <si>
    <t>Stade Japoma indoor02</t>
  </si>
  <si>
    <t>DLA276</t>
  </si>
  <si>
    <t>YANSOKI YACHIKA_IHS</t>
  </si>
  <si>
    <t>N= Chefferie ALAQCA</t>
  </si>
  <si>
    <t>YACHIKA</t>
  </si>
  <si>
    <t>Rue Gyneco</t>
  </si>
  <si>
    <t>961m</t>
  </si>
  <si>
    <t>3.97662, 9.80161</t>
  </si>
  <si>
    <t>E= Champ de TIR</t>
  </si>
  <si>
    <t>1014m</t>
  </si>
  <si>
    <t>S= Institute UCAC -ICAM</t>
  </si>
  <si>
    <t>990m</t>
  </si>
  <si>
    <t>W= Centre Medical</t>
  </si>
  <si>
    <t>1106m</t>
  </si>
  <si>
    <t>DLA278</t>
  </si>
  <si>
    <t xml:space="preserve">Super Market Mbanga Bakoko </t>
  </si>
  <si>
    <t>N= Hotel du Michi</t>
  </si>
  <si>
    <t>Rue ENEO</t>
  </si>
  <si>
    <t>678m</t>
  </si>
  <si>
    <t>04.0042 09.7994</t>
  </si>
  <si>
    <t>E=Social Housing Mbanga Bakoko</t>
  </si>
  <si>
    <t>Rue Clinical Beatitude</t>
  </si>
  <si>
    <t>548m</t>
  </si>
  <si>
    <t>S= Plannete Voyage</t>
  </si>
  <si>
    <t xml:space="preserve">Rue TRADEX </t>
  </si>
  <si>
    <t>432m</t>
  </si>
  <si>
    <t>W= Nourishka Hotel</t>
  </si>
  <si>
    <t>Rue Cimeterie Ngodi Bakoko</t>
  </si>
  <si>
    <t>714m</t>
  </si>
  <si>
    <t>30600 Channels</t>
  </si>
  <si>
    <t>RECAP</t>
  </si>
  <si>
    <t>No. OF BTS</t>
  </si>
  <si>
    <t>4.026472   9.802718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</si>
</sst>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F_C_F_A_-;\-* #,##0\ _F_C_F_A_-;_-* &quot;-&quot;\ _F_C_F_A_-;_-@_-"/>
    <numFmt numFmtId="165" formatCode="_-* #,##0.0\ _F_C_F_A_-;\-* #,##0.0\ _F_C_F_A_-;_-* &quot;-&quot;\ _F_C_F_A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Garamond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8" fillId="0" borderId="2" xfId="0" applyFont="1" applyBorder="1" applyAlignment="1"/>
    <xf numFmtId="0" fontId="8" fillId="0" borderId="3" xfId="0" applyFont="1" applyBorder="1" applyAlignment="1"/>
    <xf numFmtId="164" fontId="8" fillId="0" borderId="4" xfId="1" applyFont="1" applyBorder="1" applyAlignment="1">
      <alignment vertical="center"/>
    </xf>
    <xf numFmtId="0" fontId="8" fillId="0" borderId="4" xfId="0" applyFont="1" applyBorder="1" applyAlignment="1"/>
    <xf numFmtId="0" fontId="8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164" fontId="6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164" fontId="13" fillId="0" borderId="0" xfId="1" applyFont="1" applyAlignment="1">
      <alignment vertical="center"/>
    </xf>
    <xf numFmtId="164" fontId="15" fillId="0" borderId="1" xfId="1" applyFont="1" applyBorder="1" applyAlignment="1">
      <alignment horizontal="left" vertical="center"/>
    </xf>
    <xf numFmtId="164" fontId="15" fillId="0" borderId="0" xfId="1" applyFont="1" applyAlignment="1">
      <alignment vertical="center"/>
    </xf>
    <xf numFmtId="164" fontId="15" fillId="0" borderId="0" xfId="1" applyFont="1" applyAlignment="1">
      <alignment vertical="center" wrapText="1"/>
    </xf>
    <xf numFmtId="0" fontId="14" fillId="4" borderId="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5" fillId="2" borderId="7" xfId="1" applyFont="1" applyFill="1" applyBorder="1" applyAlignment="1">
      <alignment horizontal="center" vertical="center" wrapText="1"/>
    </xf>
    <xf numFmtId="164" fontId="5" fillId="2" borderId="8" xfId="1" applyFont="1" applyFill="1" applyBorder="1" applyAlignment="1">
      <alignment horizontal="center" vertical="center" wrapText="1"/>
    </xf>
    <xf numFmtId="164" fontId="15" fillId="0" borderId="7" xfId="1" applyFont="1" applyBorder="1" applyAlignment="1">
      <alignment horizontal="center" vertical="center"/>
    </xf>
    <xf numFmtId="164" fontId="15" fillId="0" borderId="8" xfId="1" applyFont="1" applyBorder="1" applyAlignment="1">
      <alignment horizontal="center" vertical="center"/>
    </xf>
    <xf numFmtId="165" fontId="15" fillId="0" borderId="7" xfId="1" applyNumberFormat="1" applyFont="1" applyBorder="1" applyAlignment="1">
      <alignment horizontal="right" vertical="center"/>
    </xf>
    <xf numFmtId="165" fontId="15" fillId="0" borderId="8" xfId="1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/>
    </xf>
    <xf numFmtId="164" fontId="7" fillId="5" borderId="1" xfId="1" applyFont="1" applyFill="1" applyBorder="1"/>
    <xf numFmtId="0" fontId="4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164" fontId="8" fillId="5" borderId="3" xfId="1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vertical="center"/>
    </xf>
    <xf numFmtId="164" fontId="8" fillId="5" borderId="4" xfId="1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64" fontId="2" fillId="5" borderId="1" xfId="1" applyFont="1" applyFill="1" applyBorder="1"/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/>
    </xf>
    <xf numFmtId="164" fontId="2" fillId="6" borderId="1" xfId="1" applyFont="1" applyFill="1" applyBorder="1"/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/>
    </xf>
    <xf numFmtId="164" fontId="8" fillId="6" borderId="3" xfId="1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vertical="center"/>
    </xf>
    <xf numFmtId="164" fontId="8" fillId="6" borderId="4" xfId="1" applyFont="1" applyFill="1" applyBorder="1" applyAlignment="1">
      <alignment vertical="center"/>
    </xf>
    <xf numFmtId="0" fontId="0" fillId="6" borderId="1" xfId="0" applyFill="1" applyBorder="1" applyAlignment="1">
      <alignment horizontal="right"/>
    </xf>
    <xf numFmtId="0" fontId="9" fillId="6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64" fontId="2" fillId="7" borderId="1" xfId="1" applyFont="1" applyFill="1" applyBorder="1"/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/>
    </xf>
    <xf numFmtId="164" fontId="8" fillId="7" borderId="3" xfId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/>
    </xf>
    <xf numFmtId="164" fontId="8" fillId="7" borderId="4" xfId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right"/>
    </xf>
    <xf numFmtId="0" fontId="11" fillId="7" borderId="1" xfId="0" applyFont="1" applyFill="1" applyBorder="1"/>
    <xf numFmtId="0" fontId="0" fillId="7" borderId="1" xfId="0" applyFill="1" applyBorder="1"/>
    <xf numFmtId="0" fontId="6" fillId="7" borderId="1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right"/>
    </xf>
    <xf numFmtId="164" fontId="12" fillId="8" borderId="1" xfId="1" applyFont="1" applyFill="1" applyBorder="1"/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/>
    </xf>
    <xf numFmtId="164" fontId="8" fillId="8" borderId="3" xfId="1" applyFont="1" applyFill="1" applyBorder="1" applyAlignment="1">
      <alignment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vertical="center"/>
    </xf>
    <xf numFmtId="164" fontId="8" fillId="8" borderId="4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right"/>
    </xf>
    <xf numFmtId="0" fontId="9" fillId="8" borderId="1" xfId="0" applyFont="1" applyFill="1" applyBorder="1" applyAlignment="1">
      <alignment horizontal="left" vertical="center"/>
    </xf>
    <xf numFmtId="164" fontId="2" fillId="8" borderId="1" xfId="1" applyFont="1" applyFill="1" applyBorder="1"/>
    <xf numFmtId="0" fontId="11" fillId="8" borderId="2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11" fillId="8" borderId="4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/>
    </xf>
    <xf numFmtId="164" fontId="7" fillId="9" borderId="1" xfId="1" applyFont="1" applyFill="1" applyBorder="1"/>
    <xf numFmtId="0" fontId="4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vertical="center"/>
    </xf>
    <xf numFmtId="164" fontId="8" fillId="9" borderId="3" xfId="1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vertical="center"/>
    </xf>
    <xf numFmtId="164" fontId="8" fillId="9" borderId="4" xfId="1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/>
    </xf>
    <xf numFmtId="0" fontId="2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vertical="center" wrapText="1"/>
    </xf>
    <xf numFmtId="0" fontId="0" fillId="9" borderId="1" xfId="0" applyFill="1" applyBorder="1" applyAlignment="1">
      <alignment horizontal="right"/>
    </xf>
    <xf numFmtId="164" fontId="2" fillId="9" borderId="1" xfId="1" applyFont="1" applyFill="1" applyBorder="1"/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right"/>
    </xf>
    <xf numFmtId="0" fontId="9" fillId="10" borderId="1" xfId="0" applyFont="1" applyFill="1" applyBorder="1" applyAlignment="1">
      <alignment horizontal="left" vertical="center"/>
    </xf>
    <xf numFmtId="164" fontId="7" fillId="10" borderId="1" xfId="1" applyFont="1" applyFill="1" applyBorder="1"/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3" xfId="0" applyFont="1" applyFill="1" applyBorder="1" applyAlignment="1">
      <alignment vertical="center"/>
    </xf>
    <xf numFmtId="164" fontId="8" fillId="10" borderId="3" xfId="1" applyFont="1" applyFill="1" applyBorder="1" applyAlignment="1">
      <alignment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vertical="center"/>
    </xf>
    <xf numFmtId="164" fontId="8" fillId="10" borderId="4" xfId="1" applyFont="1" applyFill="1" applyBorder="1" applyAlignment="1">
      <alignment vertical="center"/>
    </xf>
    <xf numFmtId="0" fontId="6" fillId="10" borderId="1" xfId="0" applyFont="1" applyFill="1" applyBorder="1" applyAlignment="1">
      <alignment horizontal="right" vertical="center"/>
    </xf>
    <xf numFmtId="0" fontId="6" fillId="10" borderId="1" xfId="2" applyFont="1" applyFill="1" applyBorder="1" applyAlignment="1">
      <alignment horizontal="center" vertical="center"/>
    </xf>
  </cellXfs>
  <cellStyles count="3">
    <cellStyle name="Milliers [0]" xfId="1" builtinId="6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topLeftCell="D46" workbookViewId="0">
      <selection activeCell="O66" sqref="O66"/>
    </sheetView>
  </sheetViews>
  <sheetFormatPr baseColWidth="10" defaultColWidth="8.140625" defaultRowHeight="15" x14ac:dyDescent="0.25"/>
  <cols>
    <col min="1" max="1" width="4.7109375" customWidth="1"/>
    <col min="2" max="2" width="16.140625" customWidth="1"/>
    <col min="3" max="3" width="14.140625" customWidth="1"/>
    <col min="4" max="4" width="22.140625" customWidth="1"/>
    <col min="5" max="5" width="23.85546875" customWidth="1"/>
    <col min="6" max="6" width="18.42578125" customWidth="1"/>
    <col min="7" max="7" width="15.140625" customWidth="1"/>
    <col min="8" max="8" width="10" customWidth="1"/>
    <col min="9" max="9" width="18.42578125" customWidth="1"/>
    <col min="10" max="10" width="14" customWidth="1"/>
    <col min="11" max="11" width="17.42578125" customWidth="1"/>
    <col min="12" max="12" width="17.28515625" customWidth="1"/>
    <col min="13" max="13" width="14.42578125" customWidth="1"/>
  </cols>
  <sheetData>
    <row r="1" spans="1:13" ht="34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</row>
    <row r="2" spans="1:13" x14ac:dyDescent="0.25">
      <c r="A2" s="43">
        <v>1</v>
      </c>
      <c r="B2" s="42" t="s">
        <v>13</v>
      </c>
      <c r="C2" s="43" t="s">
        <v>14</v>
      </c>
      <c r="D2" s="44" t="s">
        <v>15</v>
      </c>
      <c r="E2" s="45" t="s">
        <v>16</v>
      </c>
      <c r="F2" s="45" t="s">
        <v>17</v>
      </c>
      <c r="G2" s="46" t="s">
        <v>18</v>
      </c>
      <c r="H2" s="45" t="s">
        <v>19</v>
      </c>
      <c r="I2" s="43" t="s">
        <v>249</v>
      </c>
      <c r="J2" s="48" t="s">
        <v>20</v>
      </c>
      <c r="K2" s="45" t="s">
        <v>21</v>
      </c>
      <c r="L2" s="49">
        <v>22354.938849999999</v>
      </c>
      <c r="M2" s="6"/>
    </row>
    <row r="3" spans="1:13" x14ac:dyDescent="0.25">
      <c r="A3" s="50"/>
      <c r="B3" s="42"/>
      <c r="C3" s="50"/>
      <c r="D3" s="51"/>
      <c r="E3" s="45" t="s">
        <v>22</v>
      </c>
      <c r="F3" s="45" t="s">
        <v>17</v>
      </c>
      <c r="G3" s="46" t="s">
        <v>23</v>
      </c>
      <c r="H3" s="45" t="s">
        <v>24</v>
      </c>
      <c r="I3" s="50"/>
      <c r="J3" s="52"/>
      <c r="K3" s="53"/>
      <c r="L3" s="54"/>
      <c r="M3" s="7"/>
    </row>
    <row r="4" spans="1:13" x14ac:dyDescent="0.25">
      <c r="A4" s="50"/>
      <c r="B4" s="42"/>
      <c r="C4" s="50"/>
      <c r="D4" s="51"/>
      <c r="E4" s="45" t="s">
        <v>25</v>
      </c>
      <c r="F4" s="45" t="s">
        <v>17</v>
      </c>
      <c r="G4" s="46" t="s">
        <v>26</v>
      </c>
      <c r="H4" s="45" t="s">
        <v>27</v>
      </c>
      <c r="I4" s="50"/>
      <c r="J4" s="52"/>
      <c r="K4" s="53"/>
      <c r="L4" s="54"/>
      <c r="M4" s="7"/>
    </row>
    <row r="5" spans="1:13" x14ac:dyDescent="0.25">
      <c r="A5" s="55"/>
      <c r="B5" s="42"/>
      <c r="C5" s="55"/>
      <c r="D5" s="56"/>
      <c r="E5" s="45" t="s">
        <v>28</v>
      </c>
      <c r="F5" s="45" t="s">
        <v>17</v>
      </c>
      <c r="G5" s="46" t="s">
        <v>29</v>
      </c>
      <c r="H5" s="45" t="s">
        <v>30</v>
      </c>
      <c r="I5" s="55"/>
      <c r="J5" s="57"/>
      <c r="K5" s="53"/>
      <c r="L5" s="58"/>
      <c r="M5" s="9"/>
    </row>
    <row r="6" spans="1:13" x14ac:dyDescent="0.25">
      <c r="A6" s="43">
        <v>2</v>
      </c>
      <c r="B6" s="42"/>
      <c r="C6" s="43" t="s">
        <v>31</v>
      </c>
      <c r="D6" s="59" t="s">
        <v>32</v>
      </c>
      <c r="E6" s="45" t="s">
        <v>33</v>
      </c>
      <c r="F6" s="45" t="s">
        <v>34</v>
      </c>
      <c r="G6" s="46" t="s">
        <v>35</v>
      </c>
      <c r="H6" s="45" t="s">
        <v>36</v>
      </c>
      <c r="I6" s="43" t="s">
        <v>37</v>
      </c>
      <c r="J6" s="48">
        <v>0.5</v>
      </c>
      <c r="K6" s="45" t="s">
        <v>21</v>
      </c>
      <c r="L6" s="49">
        <v>11602.84045</v>
      </c>
      <c r="M6" s="6"/>
    </row>
    <row r="7" spans="1:13" x14ac:dyDescent="0.25">
      <c r="A7" s="50"/>
      <c r="B7" s="42"/>
      <c r="C7" s="50"/>
      <c r="D7" s="60"/>
      <c r="E7" s="45" t="s">
        <v>38</v>
      </c>
      <c r="F7" s="45" t="s">
        <v>34</v>
      </c>
      <c r="G7" s="46" t="s">
        <v>39</v>
      </c>
      <c r="H7" s="45" t="s">
        <v>24</v>
      </c>
      <c r="I7" s="50"/>
      <c r="J7" s="52"/>
      <c r="K7" s="53"/>
      <c r="L7" s="54"/>
      <c r="M7" s="7"/>
    </row>
    <row r="8" spans="1:13" x14ac:dyDescent="0.25">
      <c r="A8" s="50"/>
      <c r="B8" s="42"/>
      <c r="C8" s="50"/>
      <c r="D8" s="60"/>
      <c r="E8" s="45" t="s">
        <v>40</v>
      </c>
      <c r="F8" s="45" t="s">
        <v>34</v>
      </c>
      <c r="G8" s="46" t="s">
        <v>41</v>
      </c>
      <c r="H8" s="45" t="s">
        <v>42</v>
      </c>
      <c r="I8" s="50"/>
      <c r="J8" s="52"/>
      <c r="K8" s="53"/>
      <c r="L8" s="54"/>
      <c r="M8" s="7"/>
    </row>
    <row r="9" spans="1:13" x14ac:dyDescent="0.25">
      <c r="A9" s="55"/>
      <c r="B9" s="42"/>
      <c r="C9" s="55"/>
      <c r="D9" s="61"/>
      <c r="E9" s="45" t="s">
        <v>43</v>
      </c>
      <c r="F9" s="45" t="s">
        <v>34</v>
      </c>
      <c r="G9" s="46" t="s">
        <v>39</v>
      </c>
      <c r="H9" s="45" t="s">
        <v>44</v>
      </c>
      <c r="I9" s="55"/>
      <c r="J9" s="57"/>
      <c r="K9" s="53"/>
      <c r="L9" s="58"/>
      <c r="M9" s="9"/>
    </row>
    <row r="10" spans="1:13" x14ac:dyDescent="0.25">
      <c r="A10" s="43">
        <v>3</v>
      </c>
      <c r="B10" s="42"/>
      <c r="C10" s="43" t="s">
        <v>45</v>
      </c>
      <c r="D10" s="59" t="s">
        <v>46</v>
      </c>
      <c r="E10" s="45" t="s">
        <v>47</v>
      </c>
      <c r="F10" s="45" t="s">
        <v>48</v>
      </c>
      <c r="G10" s="46" t="s">
        <v>39</v>
      </c>
      <c r="H10" s="45" t="s">
        <v>49</v>
      </c>
      <c r="I10" s="46" t="s">
        <v>50</v>
      </c>
      <c r="J10" s="48">
        <v>0.8</v>
      </c>
      <c r="K10" s="45" t="s">
        <v>21</v>
      </c>
      <c r="L10" s="62">
        <v>13447.710150000001</v>
      </c>
      <c r="M10" s="6"/>
    </row>
    <row r="11" spans="1:13" x14ac:dyDescent="0.25">
      <c r="A11" s="50"/>
      <c r="B11" s="42"/>
      <c r="C11" s="50"/>
      <c r="D11" s="60"/>
      <c r="E11" s="45" t="s">
        <v>51</v>
      </c>
      <c r="F11" s="45" t="s">
        <v>48</v>
      </c>
      <c r="G11" s="46" t="s">
        <v>39</v>
      </c>
      <c r="H11" s="45" t="s">
        <v>52</v>
      </c>
      <c r="I11" s="53"/>
      <c r="J11" s="52"/>
      <c r="K11" s="53"/>
      <c r="L11" s="54"/>
      <c r="M11" s="7"/>
    </row>
    <row r="12" spans="1:13" x14ac:dyDescent="0.25">
      <c r="A12" s="50"/>
      <c r="B12" s="42"/>
      <c r="C12" s="50"/>
      <c r="D12" s="60"/>
      <c r="E12" s="45" t="s">
        <v>53</v>
      </c>
      <c r="F12" s="45" t="s">
        <v>48</v>
      </c>
      <c r="G12" s="46" t="s">
        <v>39</v>
      </c>
      <c r="H12" s="45" t="s">
        <v>54</v>
      </c>
      <c r="I12" s="53"/>
      <c r="J12" s="52"/>
      <c r="K12" s="53"/>
      <c r="L12" s="54"/>
      <c r="M12" s="7"/>
    </row>
    <row r="13" spans="1:13" x14ac:dyDescent="0.25">
      <c r="A13" s="55"/>
      <c r="B13" s="42"/>
      <c r="C13" s="55"/>
      <c r="D13" s="61"/>
      <c r="E13" s="45" t="s">
        <v>55</v>
      </c>
      <c r="F13" s="45" t="s">
        <v>48</v>
      </c>
      <c r="G13" s="46" t="s">
        <v>39</v>
      </c>
      <c r="H13" s="45" t="s">
        <v>56</v>
      </c>
      <c r="I13" s="53"/>
      <c r="J13" s="57"/>
      <c r="K13" s="53"/>
      <c r="L13" s="58"/>
      <c r="M13" s="9"/>
    </row>
    <row r="14" spans="1:13" x14ac:dyDescent="0.25">
      <c r="A14" s="43">
        <v>4</v>
      </c>
      <c r="B14" s="42"/>
      <c r="C14" s="43" t="s">
        <v>57</v>
      </c>
      <c r="D14" s="59" t="s">
        <v>58</v>
      </c>
      <c r="E14" s="45" t="s">
        <v>59</v>
      </c>
      <c r="F14" s="45" t="s">
        <v>60</v>
      </c>
      <c r="G14" s="46" t="s">
        <v>61</v>
      </c>
      <c r="H14" s="45" t="s">
        <v>62</v>
      </c>
      <c r="I14" s="47" t="s">
        <v>63</v>
      </c>
      <c r="J14" s="48">
        <v>0.8</v>
      </c>
      <c r="K14" s="45" t="s">
        <v>21</v>
      </c>
      <c r="L14" s="49">
        <v>8531.8291749999989</v>
      </c>
      <c r="M14" s="6"/>
    </row>
    <row r="15" spans="1:13" x14ac:dyDescent="0.25">
      <c r="A15" s="50"/>
      <c r="B15" s="42"/>
      <c r="C15" s="50"/>
      <c r="D15" s="60"/>
      <c r="E15" s="45" t="s">
        <v>64</v>
      </c>
      <c r="F15" s="45" t="s">
        <v>60</v>
      </c>
      <c r="G15" s="46" t="s">
        <v>65</v>
      </c>
      <c r="H15" s="45" t="s">
        <v>49</v>
      </c>
      <c r="I15" s="53"/>
      <c r="J15" s="52"/>
      <c r="K15" s="53"/>
      <c r="L15" s="54"/>
      <c r="M15" s="7"/>
    </row>
    <row r="16" spans="1:13" x14ac:dyDescent="0.25">
      <c r="A16" s="50"/>
      <c r="B16" s="42"/>
      <c r="C16" s="50"/>
      <c r="D16" s="60"/>
      <c r="E16" s="45" t="s">
        <v>66</v>
      </c>
      <c r="F16" s="45" t="s">
        <v>60</v>
      </c>
      <c r="G16" s="46" t="s">
        <v>39</v>
      </c>
      <c r="H16" s="45" t="s">
        <v>52</v>
      </c>
      <c r="I16" s="53"/>
      <c r="J16" s="52"/>
      <c r="K16" s="53"/>
      <c r="L16" s="54"/>
      <c r="M16" s="7"/>
    </row>
    <row r="17" spans="1:13" x14ac:dyDescent="0.25">
      <c r="A17" s="55"/>
      <c r="B17" s="42"/>
      <c r="C17" s="55"/>
      <c r="D17" s="61"/>
      <c r="E17" s="45" t="s">
        <v>67</v>
      </c>
      <c r="F17" s="45" t="s">
        <v>68</v>
      </c>
      <c r="G17" s="46" t="s">
        <v>69</v>
      </c>
      <c r="H17" s="45" t="s">
        <v>56</v>
      </c>
      <c r="I17" s="53"/>
      <c r="J17" s="57"/>
      <c r="K17" s="53"/>
      <c r="L17" s="58"/>
      <c r="M17" s="9"/>
    </row>
    <row r="18" spans="1:13" x14ac:dyDescent="0.25">
      <c r="A18" s="63">
        <v>5</v>
      </c>
      <c r="B18" s="42"/>
      <c r="C18" s="63" t="s">
        <v>70</v>
      </c>
      <c r="D18" s="64" t="s">
        <v>71</v>
      </c>
      <c r="E18" s="65" t="s">
        <v>72</v>
      </c>
      <c r="F18" s="65" t="s">
        <v>73</v>
      </c>
      <c r="G18" s="66" t="s">
        <v>39</v>
      </c>
      <c r="H18" s="65" t="s">
        <v>74</v>
      </c>
      <c r="I18" s="67" t="s">
        <v>75</v>
      </c>
      <c r="J18" s="68">
        <v>0.6</v>
      </c>
      <c r="K18" s="65" t="s">
        <v>76</v>
      </c>
      <c r="L18" s="69">
        <v>31165.037499999999</v>
      </c>
      <c r="M18" s="6"/>
    </row>
    <row r="19" spans="1:13" x14ac:dyDescent="0.25">
      <c r="A19" s="70"/>
      <c r="B19" s="42"/>
      <c r="C19" s="70"/>
      <c r="D19" s="71"/>
      <c r="E19" s="65" t="s">
        <v>77</v>
      </c>
      <c r="F19" s="65" t="s">
        <v>78</v>
      </c>
      <c r="G19" s="66" t="s">
        <v>39</v>
      </c>
      <c r="H19" s="65" t="s">
        <v>79</v>
      </c>
      <c r="I19" s="72"/>
      <c r="J19" s="73"/>
      <c r="K19" s="72"/>
      <c r="L19" s="74"/>
      <c r="M19" s="7"/>
    </row>
    <row r="20" spans="1:13" x14ac:dyDescent="0.25">
      <c r="A20" s="70"/>
      <c r="B20" s="42"/>
      <c r="C20" s="70"/>
      <c r="D20" s="71"/>
      <c r="E20" s="65" t="s">
        <v>80</v>
      </c>
      <c r="F20" s="65" t="s">
        <v>81</v>
      </c>
      <c r="G20" s="66" t="s">
        <v>39</v>
      </c>
      <c r="H20" s="65" t="s">
        <v>82</v>
      </c>
      <c r="I20" s="72"/>
      <c r="J20" s="73"/>
      <c r="K20" s="72"/>
      <c r="L20" s="74"/>
      <c r="M20" s="7"/>
    </row>
    <row r="21" spans="1:13" x14ac:dyDescent="0.25">
      <c r="A21" s="75"/>
      <c r="B21" s="42"/>
      <c r="C21" s="75"/>
      <c r="D21" s="76"/>
      <c r="E21" s="65" t="s">
        <v>83</v>
      </c>
      <c r="F21" s="65" t="s">
        <v>73</v>
      </c>
      <c r="G21" s="66" t="s">
        <v>84</v>
      </c>
      <c r="H21" s="65" t="s">
        <v>85</v>
      </c>
      <c r="I21" s="72"/>
      <c r="J21" s="77"/>
      <c r="K21" s="72"/>
      <c r="L21" s="78"/>
      <c r="M21" s="9"/>
    </row>
    <row r="22" spans="1:13" x14ac:dyDescent="0.25">
      <c r="A22" s="63">
        <v>6</v>
      </c>
      <c r="B22" s="42"/>
      <c r="C22" s="63" t="s">
        <v>86</v>
      </c>
      <c r="D22" s="64" t="s">
        <v>87</v>
      </c>
      <c r="E22" s="65" t="s">
        <v>88</v>
      </c>
      <c r="F22" s="65" t="s">
        <v>73</v>
      </c>
      <c r="G22" s="66" t="s">
        <v>89</v>
      </c>
      <c r="H22" s="65" t="s">
        <v>90</v>
      </c>
      <c r="I22" s="67" t="s">
        <v>91</v>
      </c>
      <c r="J22" s="79">
        <v>1.5</v>
      </c>
      <c r="K22" s="80" t="s">
        <v>76</v>
      </c>
      <c r="L22" s="69">
        <v>31165.037499999999</v>
      </c>
      <c r="M22" s="6"/>
    </row>
    <row r="23" spans="1:13" x14ac:dyDescent="0.25">
      <c r="A23" s="70"/>
      <c r="B23" s="42"/>
      <c r="C23" s="70"/>
      <c r="D23" s="71"/>
      <c r="E23" s="65" t="s">
        <v>92</v>
      </c>
      <c r="F23" s="65" t="s">
        <v>73</v>
      </c>
      <c r="G23" s="66" t="s">
        <v>93</v>
      </c>
      <c r="H23" s="65" t="s">
        <v>94</v>
      </c>
      <c r="I23" s="72"/>
      <c r="J23" s="73"/>
      <c r="K23" s="72"/>
      <c r="L23" s="74"/>
      <c r="M23" s="7"/>
    </row>
    <row r="24" spans="1:13" x14ac:dyDescent="0.25">
      <c r="A24" s="70"/>
      <c r="B24" s="42"/>
      <c r="C24" s="70"/>
      <c r="D24" s="71"/>
      <c r="E24" s="65" t="s">
        <v>95</v>
      </c>
      <c r="F24" s="65" t="s">
        <v>73</v>
      </c>
      <c r="G24" s="66" t="s">
        <v>96</v>
      </c>
      <c r="H24" s="65" t="s">
        <v>97</v>
      </c>
      <c r="I24" s="72"/>
      <c r="J24" s="73"/>
      <c r="K24" s="72"/>
      <c r="L24" s="74"/>
      <c r="M24" s="7"/>
    </row>
    <row r="25" spans="1:13" x14ac:dyDescent="0.25">
      <c r="A25" s="75"/>
      <c r="B25" s="42"/>
      <c r="C25" s="75"/>
      <c r="D25" s="76"/>
      <c r="E25" s="65" t="s">
        <v>98</v>
      </c>
      <c r="F25" s="65" t="s">
        <v>73</v>
      </c>
      <c r="G25" s="66" t="s">
        <v>99</v>
      </c>
      <c r="H25" s="65" t="s">
        <v>100</v>
      </c>
      <c r="I25" s="72"/>
      <c r="J25" s="77"/>
      <c r="K25" s="72"/>
      <c r="L25" s="78"/>
      <c r="M25" s="9"/>
    </row>
    <row r="26" spans="1:13" x14ac:dyDescent="0.25">
      <c r="A26" s="63">
        <v>7</v>
      </c>
      <c r="B26" s="42"/>
      <c r="C26" s="63" t="s">
        <v>101</v>
      </c>
      <c r="D26" s="64" t="s">
        <v>102</v>
      </c>
      <c r="E26" s="65" t="s">
        <v>103</v>
      </c>
      <c r="F26" s="65" t="s">
        <v>73</v>
      </c>
      <c r="G26" s="66" t="s">
        <v>104</v>
      </c>
      <c r="H26" s="65" t="s">
        <v>105</v>
      </c>
      <c r="I26" s="67" t="s">
        <v>106</v>
      </c>
      <c r="J26" s="79">
        <v>1</v>
      </c>
      <c r="K26" s="80" t="s">
        <v>21</v>
      </c>
      <c r="L26" s="69">
        <v>2333.4265249999999</v>
      </c>
      <c r="M26" s="6"/>
    </row>
    <row r="27" spans="1:13" x14ac:dyDescent="0.25">
      <c r="A27" s="70"/>
      <c r="B27" s="42"/>
      <c r="C27" s="70"/>
      <c r="D27" s="71"/>
      <c r="E27" s="65" t="s">
        <v>107</v>
      </c>
      <c r="F27" s="65" t="s">
        <v>73</v>
      </c>
      <c r="G27" s="66" t="s">
        <v>108</v>
      </c>
      <c r="H27" s="65" t="s">
        <v>109</v>
      </c>
      <c r="I27" s="72"/>
      <c r="J27" s="73"/>
      <c r="K27" s="72"/>
      <c r="L27" s="74"/>
      <c r="M27" s="7"/>
    </row>
    <row r="28" spans="1:13" x14ac:dyDescent="0.25">
      <c r="A28" s="70"/>
      <c r="B28" s="42"/>
      <c r="C28" s="70"/>
      <c r="D28" s="71"/>
      <c r="E28" s="65" t="s">
        <v>110</v>
      </c>
      <c r="F28" s="65" t="s">
        <v>73</v>
      </c>
      <c r="G28" s="66" t="s">
        <v>111</v>
      </c>
      <c r="H28" s="65" t="s">
        <v>112</v>
      </c>
      <c r="I28" s="72"/>
      <c r="J28" s="73"/>
      <c r="K28" s="72"/>
      <c r="L28" s="74"/>
      <c r="M28" s="7"/>
    </row>
    <row r="29" spans="1:13" x14ac:dyDescent="0.25">
      <c r="A29" s="75"/>
      <c r="B29" s="42"/>
      <c r="C29" s="75"/>
      <c r="D29" s="76"/>
      <c r="E29" s="65" t="s">
        <v>113</v>
      </c>
      <c r="F29" s="65" t="s">
        <v>73</v>
      </c>
      <c r="G29" s="66" t="s">
        <v>39</v>
      </c>
      <c r="H29" s="65" t="s">
        <v>114</v>
      </c>
      <c r="I29" s="72"/>
      <c r="J29" s="77"/>
      <c r="K29" s="72"/>
      <c r="L29" s="78"/>
      <c r="M29" s="9"/>
    </row>
    <row r="30" spans="1:13" x14ac:dyDescent="0.25">
      <c r="A30" s="81">
        <v>8</v>
      </c>
      <c r="B30" s="42"/>
      <c r="C30" s="81" t="s">
        <v>115</v>
      </c>
      <c r="D30" s="82" t="s">
        <v>116</v>
      </c>
      <c r="E30" s="83" t="s">
        <v>117</v>
      </c>
      <c r="F30" s="83" t="s">
        <v>118</v>
      </c>
      <c r="G30" s="83" t="s">
        <v>119</v>
      </c>
      <c r="H30" s="83" t="s">
        <v>120</v>
      </c>
      <c r="I30" s="84" t="s">
        <v>121</v>
      </c>
      <c r="J30" s="85">
        <v>0.8</v>
      </c>
      <c r="K30" s="86" t="s">
        <v>76</v>
      </c>
      <c r="L30" s="87">
        <v>18433.524574999999</v>
      </c>
      <c r="M30" s="6"/>
    </row>
    <row r="31" spans="1:13" x14ac:dyDescent="0.25">
      <c r="A31" s="88"/>
      <c r="B31" s="42"/>
      <c r="C31" s="88"/>
      <c r="D31" s="89"/>
      <c r="E31" s="83" t="s">
        <v>122</v>
      </c>
      <c r="F31" s="83" t="s">
        <v>123</v>
      </c>
      <c r="G31" s="83" t="s">
        <v>124</v>
      </c>
      <c r="H31" s="83" t="s">
        <v>125</v>
      </c>
      <c r="I31" s="90"/>
      <c r="J31" s="91"/>
      <c r="K31" s="90"/>
      <c r="L31" s="92"/>
      <c r="M31" s="7"/>
    </row>
    <row r="32" spans="1:13" x14ac:dyDescent="0.25">
      <c r="A32" s="88"/>
      <c r="B32" s="42"/>
      <c r="C32" s="88"/>
      <c r="D32" s="89"/>
      <c r="E32" s="83" t="s">
        <v>126</v>
      </c>
      <c r="F32" s="83" t="s">
        <v>118</v>
      </c>
      <c r="G32" s="83" t="s">
        <v>124</v>
      </c>
      <c r="H32" s="83" t="s">
        <v>127</v>
      </c>
      <c r="I32" s="90"/>
      <c r="J32" s="91"/>
      <c r="K32" s="90"/>
      <c r="L32" s="92"/>
      <c r="M32" s="7"/>
    </row>
    <row r="33" spans="1:13" x14ac:dyDescent="0.25">
      <c r="A33" s="93"/>
      <c r="B33" s="42"/>
      <c r="C33" s="93"/>
      <c r="D33" s="94"/>
      <c r="E33" s="83" t="s">
        <v>128</v>
      </c>
      <c r="F33" s="83" t="s">
        <v>129</v>
      </c>
      <c r="G33" s="83" t="s">
        <v>124</v>
      </c>
      <c r="H33" s="83" t="s">
        <v>130</v>
      </c>
      <c r="I33" s="90"/>
      <c r="J33" s="95"/>
      <c r="K33" s="90"/>
      <c r="L33" s="96"/>
      <c r="M33" s="9"/>
    </row>
    <row r="34" spans="1:13" x14ac:dyDescent="0.25">
      <c r="A34" s="81">
        <v>9</v>
      </c>
      <c r="B34" s="42"/>
      <c r="C34" s="81" t="s">
        <v>131</v>
      </c>
      <c r="D34" s="82" t="s">
        <v>132</v>
      </c>
      <c r="E34" s="83" t="s">
        <v>133</v>
      </c>
      <c r="F34" s="83" t="s">
        <v>134</v>
      </c>
      <c r="G34" s="97" t="s">
        <v>39</v>
      </c>
      <c r="H34" s="83" t="s">
        <v>135</v>
      </c>
      <c r="I34" s="98" t="s">
        <v>136</v>
      </c>
      <c r="J34" s="99">
        <v>0.5</v>
      </c>
      <c r="K34" s="86" t="s">
        <v>76</v>
      </c>
      <c r="L34" s="87">
        <v>13070.451125</v>
      </c>
      <c r="M34" s="6"/>
    </row>
    <row r="35" spans="1:13" x14ac:dyDescent="0.25">
      <c r="A35" s="88"/>
      <c r="B35" s="42"/>
      <c r="C35" s="88"/>
      <c r="D35" s="89"/>
      <c r="E35" s="83" t="s">
        <v>137</v>
      </c>
      <c r="F35" s="83" t="s">
        <v>134</v>
      </c>
      <c r="G35" s="97" t="s">
        <v>39</v>
      </c>
      <c r="H35" s="83" t="s">
        <v>138</v>
      </c>
      <c r="I35" s="90"/>
      <c r="J35" s="91"/>
      <c r="K35" s="90"/>
      <c r="L35" s="92"/>
      <c r="M35" s="7"/>
    </row>
    <row r="36" spans="1:13" x14ac:dyDescent="0.25">
      <c r="A36" s="88"/>
      <c r="B36" s="42"/>
      <c r="C36" s="88"/>
      <c r="D36" s="89"/>
      <c r="E36" s="83" t="s">
        <v>139</v>
      </c>
      <c r="F36" s="83" t="s">
        <v>134</v>
      </c>
      <c r="G36" s="97" t="s">
        <v>108</v>
      </c>
      <c r="H36" s="83" t="s">
        <v>140</v>
      </c>
      <c r="I36" s="90"/>
      <c r="J36" s="91"/>
      <c r="K36" s="90"/>
      <c r="L36" s="92"/>
      <c r="M36" s="7"/>
    </row>
    <row r="37" spans="1:13" x14ac:dyDescent="0.25">
      <c r="A37" s="93"/>
      <c r="B37" s="42"/>
      <c r="C37" s="93"/>
      <c r="D37" s="94"/>
      <c r="E37" s="83" t="s">
        <v>141</v>
      </c>
      <c r="F37" s="83" t="s">
        <v>134</v>
      </c>
      <c r="G37" s="97" t="s">
        <v>39</v>
      </c>
      <c r="H37" s="83" t="s">
        <v>142</v>
      </c>
      <c r="I37" s="90"/>
      <c r="J37" s="95"/>
      <c r="K37" s="90"/>
      <c r="L37" s="96"/>
      <c r="M37" s="9"/>
    </row>
    <row r="38" spans="1:13" x14ac:dyDescent="0.25">
      <c r="A38" s="81">
        <v>10</v>
      </c>
      <c r="B38" s="42"/>
      <c r="C38" s="81" t="s">
        <v>143</v>
      </c>
      <c r="D38" s="82" t="s">
        <v>144</v>
      </c>
      <c r="E38" s="83" t="s">
        <v>145</v>
      </c>
      <c r="F38" s="100" t="s">
        <v>146</v>
      </c>
      <c r="G38" s="97" t="s">
        <v>39</v>
      </c>
      <c r="H38" s="83" t="s">
        <v>147</v>
      </c>
      <c r="I38" s="101" t="s">
        <v>148</v>
      </c>
      <c r="J38" s="102">
        <v>3.1</v>
      </c>
      <c r="K38" s="86" t="s">
        <v>76</v>
      </c>
      <c r="L38" s="87">
        <v>0</v>
      </c>
      <c r="M38" s="6"/>
    </row>
    <row r="39" spans="1:13" x14ac:dyDescent="0.25">
      <c r="A39" s="88"/>
      <c r="B39" s="42"/>
      <c r="C39" s="88"/>
      <c r="D39" s="89"/>
      <c r="E39" s="83" t="s">
        <v>149</v>
      </c>
      <c r="F39" s="100" t="s">
        <v>146</v>
      </c>
      <c r="G39" s="97" t="s">
        <v>39</v>
      </c>
      <c r="H39" s="83" t="s">
        <v>150</v>
      </c>
      <c r="I39" s="90"/>
      <c r="J39" s="91"/>
      <c r="K39" s="90"/>
      <c r="L39" s="92"/>
      <c r="M39" s="7"/>
    </row>
    <row r="40" spans="1:13" x14ac:dyDescent="0.25">
      <c r="A40" s="88"/>
      <c r="B40" s="42"/>
      <c r="C40" s="88"/>
      <c r="D40" s="89"/>
      <c r="E40" s="83" t="s">
        <v>151</v>
      </c>
      <c r="F40" s="100" t="s">
        <v>146</v>
      </c>
      <c r="G40" s="97" t="s">
        <v>39</v>
      </c>
      <c r="H40" s="83" t="s">
        <v>109</v>
      </c>
      <c r="I40" s="90"/>
      <c r="J40" s="91"/>
      <c r="K40" s="90"/>
      <c r="L40" s="92"/>
      <c r="M40" s="7"/>
    </row>
    <row r="41" spans="1:13" x14ac:dyDescent="0.25">
      <c r="A41" s="93"/>
      <c r="B41" s="42"/>
      <c r="C41" s="93"/>
      <c r="D41" s="94"/>
      <c r="E41" s="83" t="s">
        <v>152</v>
      </c>
      <c r="F41" s="100" t="s">
        <v>146</v>
      </c>
      <c r="G41" s="97" t="s">
        <v>39</v>
      </c>
      <c r="H41" s="83" t="s">
        <v>153</v>
      </c>
      <c r="I41" s="90"/>
      <c r="J41" s="95"/>
      <c r="K41" s="90"/>
      <c r="L41" s="96"/>
      <c r="M41" s="9"/>
    </row>
    <row r="42" spans="1:13" x14ac:dyDescent="0.25">
      <c r="A42" s="103">
        <v>11</v>
      </c>
      <c r="B42" s="42"/>
      <c r="C42" s="103" t="s">
        <v>154</v>
      </c>
      <c r="D42" s="104" t="s">
        <v>155</v>
      </c>
      <c r="E42" s="105"/>
      <c r="F42" s="105"/>
      <c r="G42" s="106"/>
      <c r="H42" s="105"/>
      <c r="I42" s="107"/>
      <c r="J42" s="108"/>
      <c r="K42" s="107"/>
      <c r="L42" s="109"/>
      <c r="M42" s="6"/>
    </row>
    <row r="43" spans="1:13" x14ac:dyDescent="0.25">
      <c r="A43" s="110"/>
      <c r="B43" s="42"/>
      <c r="C43" s="110"/>
      <c r="D43" s="111"/>
      <c r="E43" s="105"/>
      <c r="F43" s="105"/>
      <c r="G43" s="106"/>
      <c r="H43" s="105"/>
      <c r="I43" s="112"/>
      <c r="J43" s="113"/>
      <c r="K43" s="112"/>
      <c r="L43" s="114"/>
      <c r="M43" s="7"/>
    </row>
    <row r="44" spans="1:13" x14ac:dyDescent="0.25">
      <c r="A44" s="110"/>
      <c r="B44" s="42"/>
      <c r="C44" s="110"/>
      <c r="D44" s="111"/>
      <c r="E44" s="105"/>
      <c r="F44" s="105"/>
      <c r="G44" s="106"/>
      <c r="H44" s="105"/>
      <c r="I44" s="112"/>
      <c r="J44" s="113"/>
      <c r="K44" s="112"/>
      <c r="L44" s="114"/>
      <c r="M44" s="7"/>
    </row>
    <row r="45" spans="1:13" x14ac:dyDescent="0.25">
      <c r="A45" s="115"/>
      <c r="B45" s="42"/>
      <c r="C45" s="115"/>
      <c r="D45" s="116"/>
      <c r="E45" s="105"/>
      <c r="F45" s="105"/>
      <c r="G45" s="106"/>
      <c r="H45" s="105"/>
      <c r="I45" s="112"/>
      <c r="J45" s="117"/>
      <c r="K45" s="112"/>
      <c r="L45" s="118"/>
      <c r="M45" s="9"/>
    </row>
    <row r="46" spans="1:13" x14ac:dyDescent="0.25">
      <c r="A46" s="103">
        <v>12</v>
      </c>
      <c r="B46" s="42"/>
      <c r="C46" s="103" t="s">
        <v>156</v>
      </c>
      <c r="D46" s="104" t="s">
        <v>157</v>
      </c>
      <c r="E46" s="119" t="s">
        <v>158</v>
      </c>
      <c r="F46" s="119" t="s">
        <v>73</v>
      </c>
      <c r="G46" s="120" t="s">
        <v>159</v>
      </c>
      <c r="H46" s="119" t="s">
        <v>160</v>
      </c>
      <c r="I46" s="121" t="s">
        <v>161</v>
      </c>
      <c r="J46" s="122">
        <v>1.3</v>
      </c>
      <c r="K46" s="123" t="s">
        <v>76</v>
      </c>
      <c r="L46" s="124">
        <v>23980.607575000002</v>
      </c>
      <c r="M46" s="6"/>
    </row>
    <row r="47" spans="1:13" x14ac:dyDescent="0.25">
      <c r="A47" s="110"/>
      <c r="B47" s="42"/>
      <c r="C47" s="110"/>
      <c r="D47" s="111"/>
      <c r="E47" s="119" t="s">
        <v>162</v>
      </c>
      <c r="F47" s="119" t="s">
        <v>73</v>
      </c>
      <c r="G47" s="120" t="s">
        <v>39</v>
      </c>
      <c r="H47" s="119" t="s">
        <v>163</v>
      </c>
      <c r="I47" s="112"/>
      <c r="J47" s="113"/>
      <c r="K47" s="112"/>
      <c r="L47" s="114"/>
      <c r="M47" s="7"/>
    </row>
    <row r="48" spans="1:13" x14ac:dyDescent="0.25">
      <c r="A48" s="110"/>
      <c r="B48" s="42"/>
      <c r="C48" s="110"/>
      <c r="D48" s="111"/>
      <c r="E48" s="119" t="s">
        <v>164</v>
      </c>
      <c r="F48" s="119" t="s">
        <v>73</v>
      </c>
      <c r="G48" s="120" t="s">
        <v>39</v>
      </c>
      <c r="H48" s="119" t="s">
        <v>165</v>
      </c>
      <c r="I48" s="112"/>
      <c r="J48" s="113"/>
      <c r="K48" s="112"/>
      <c r="L48" s="114"/>
      <c r="M48" s="7"/>
    </row>
    <row r="49" spans="1:13" x14ac:dyDescent="0.25">
      <c r="A49" s="115"/>
      <c r="B49" s="42"/>
      <c r="C49" s="115"/>
      <c r="D49" s="116"/>
      <c r="E49" s="119" t="s">
        <v>166</v>
      </c>
      <c r="F49" s="119" t="s">
        <v>167</v>
      </c>
      <c r="G49" s="120" t="s">
        <v>168</v>
      </c>
      <c r="H49" s="119" t="s">
        <v>169</v>
      </c>
      <c r="I49" s="112"/>
      <c r="J49" s="117"/>
      <c r="K49" s="112"/>
      <c r="L49" s="118"/>
      <c r="M49" s="9"/>
    </row>
    <row r="50" spans="1:13" x14ac:dyDescent="0.25">
      <c r="A50" s="103">
        <v>13</v>
      </c>
      <c r="B50" s="42"/>
      <c r="C50" s="103" t="s">
        <v>170</v>
      </c>
      <c r="D50" s="125" t="s">
        <v>171</v>
      </c>
      <c r="E50" s="119" t="s">
        <v>172</v>
      </c>
      <c r="F50" s="119" t="s">
        <v>73</v>
      </c>
      <c r="G50" s="120" t="s">
        <v>173</v>
      </c>
      <c r="H50" s="119" t="s">
        <v>174</v>
      </c>
      <c r="I50" s="121" t="s">
        <v>175</v>
      </c>
      <c r="J50" s="122">
        <v>2</v>
      </c>
      <c r="K50" s="123" t="s">
        <v>21</v>
      </c>
      <c r="L50" s="124">
        <v>10504.83705</v>
      </c>
      <c r="M50" s="6"/>
    </row>
    <row r="51" spans="1:13" x14ac:dyDescent="0.25">
      <c r="A51" s="110"/>
      <c r="B51" s="42"/>
      <c r="C51" s="110"/>
      <c r="D51" s="126"/>
      <c r="E51" s="119" t="s">
        <v>176</v>
      </c>
      <c r="F51" s="119" t="s">
        <v>73</v>
      </c>
      <c r="G51" s="120" t="s">
        <v>177</v>
      </c>
      <c r="H51" s="119" t="s">
        <v>178</v>
      </c>
      <c r="I51" s="112"/>
      <c r="J51" s="113"/>
      <c r="K51" s="112"/>
      <c r="L51" s="114"/>
      <c r="M51" s="7"/>
    </row>
    <row r="52" spans="1:13" x14ac:dyDescent="0.25">
      <c r="A52" s="110"/>
      <c r="B52" s="42"/>
      <c r="C52" s="110"/>
      <c r="D52" s="126"/>
      <c r="E52" s="119" t="s">
        <v>179</v>
      </c>
      <c r="F52" s="119" t="s">
        <v>73</v>
      </c>
      <c r="G52" s="120" t="s">
        <v>180</v>
      </c>
      <c r="H52" s="119" t="s">
        <v>52</v>
      </c>
      <c r="I52" s="112"/>
      <c r="J52" s="113"/>
      <c r="K52" s="112"/>
      <c r="L52" s="114"/>
      <c r="M52" s="7"/>
    </row>
    <row r="53" spans="1:13" x14ac:dyDescent="0.25">
      <c r="A53" s="115"/>
      <c r="B53" s="42"/>
      <c r="C53" s="115"/>
      <c r="D53" s="127"/>
      <c r="E53" s="119" t="s">
        <v>181</v>
      </c>
      <c r="F53" s="119" t="s">
        <v>78</v>
      </c>
      <c r="G53" s="120" t="s">
        <v>182</v>
      </c>
      <c r="H53" s="119" t="s">
        <v>183</v>
      </c>
      <c r="I53" s="112"/>
      <c r="J53" s="117"/>
      <c r="K53" s="112"/>
      <c r="L53" s="118"/>
      <c r="M53" s="9"/>
    </row>
    <row r="54" spans="1:13" x14ac:dyDescent="0.25">
      <c r="A54" s="128">
        <v>14</v>
      </c>
      <c r="B54" s="42"/>
      <c r="C54" s="128" t="s">
        <v>184</v>
      </c>
      <c r="D54" s="129" t="s">
        <v>185</v>
      </c>
      <c r="E54" s="130" t="s">
        <v>186</v>
      </c>
      <c r="F54" s="130" t="s">
        <v>187</v>
      </c>
      <c r="G54" s="130" t="s">
        <v>188</v>
      </c>
      <c r="H54" s="130" t="s">
        <v>189</v>
      </c>
      <c r="I54" s="131" t="s">
        <v>190</v>
      </c>
      <c r="J54" s="132">
        <v>0.8</v>
      </c>
      <c r="K54" s="133" t="s">
        <v>191</v>
      </c>
      <c r="L54" s="134">
        <v>21457.787550000001</v>
      </c>
      <c r="M54" s="6"/>
    </row>
    <row r="55" spans="1:13" x14ac:dyDescent="0.25">
      <c r="A55" s="135"/>
      <c r="B55" s="42"/>
      <c r="C55" s="135"/>
      <c r="D55" s="136"/>
      <c r="E55" s="130" t="s">
        <v>192</v>
      </c>
      <c r="F55" s="130" t="s">
        <v>187</v>
      </c>
      <c r="G55" s="130" t="s">
        <v>188</v>
      </c>
      <c r="H55" s="130" t="s">
        <v>189</v>
      </c>
      <c r="I55" s="137"/>
      <c r="J55" s="138"/>
      <c r="K55" s="137"/>
      <c r="L55" s="139"/>
      <c r="M55" s="7"/>
    </row>
    <row r="56" spans="1:13" x14ac:dyDescent="0.25">
      <c r="A56" s="135"/>
      <c r="B56" s="42"/>
      <c r="C56" s="135"/>
      <c r="D56" s="136"/>
      <c r="E56" s="130" t="s">
        <v>193</v>
      </c>
      <c r="F56" s="130" t="s">
        <v>194</v>
      </c>
      <c r="G56" s="130" t="s">
        <v>195</v>
      </c>
      <c r="H56" s="130" t="s">
        <v>196</v>
      </c>
      <c r="I56" s="137"/>
      <c r="J56" s="138"/>
      <c r="K56" s="137"/>
      <c r="L56" s="139"/>
      <c r="M56" s="7"/>
    </row>
    <row r="57" spans="1:13" x14ac:dyDescent="0.25">
      <c r="A57" s="140"/>
      <c r="B57" s="42"/>
      <c r="C57" s="140"/>
      <c r="D57" s="141"/>
      <c r="E57" s="130" t="s">
        <v>197</v>
      </c>
      <c r="F57" s="130" t="s">
        <v>194</v>
      </c>
      <c r="G57" s="130" t="s">
        <v>198</v>
      </c>
      <c r="H57" s="130" t="s">
        <v>199</v>
      </c>
      <c r="I57" s="137"/>
      <c r="J57" s="142"/>
      <c r="K57" s="137"/>
      <c r="L57" s="143"/>
      <c r="M57" s="9"/>
    </row>
    <row r="58" spans="1:13" x14ac:dyDescent="0.25">
      <c r="A58" s="128">
        <v>15</v>
      </c>
      <c r="B58" s="42"/>
      <c r="C58" s="128" t="s">
        <v>200</v>
      </c>
      <c r="D58" s="144" t="s">
        <v>201</v>
      </c>
      <c r="E58" s="130" t="s">
        <v>202</v>
      </c>
      <c r="F58" s="130" t="s">
        <v>203</v>
      </c>
      <c r="G58" s="131" t="s">
        <v>39</v>
      </c>
      <c r="H58" s="130" t="s">
        <v>204</v>
      </c>
      <c r="I58" s="145" t="s">
        <v>205</v>
      </c>
      <c r="J58" s="146">
        <v>0.4</v>
      </c>
      <c r="K58" s="130" t="s">
        <v>21</v>
      </c>
      <c r="L58" s="134">
        <v>11765.0113</v>
      </c>
      <c r="M58" s="6"/>
    </row>
    <row r="59" spans="1:13" x14ac:dyDescent="0.25">
      <c r="A59" s="135"/>
      <c r="B59" s="42"/>
      <c r="C59" s="135"/>
      <c r="D59" s="147"/>
      <c r="E59" s="130" t="s">
        <v>206</v>
      </c>
      <c r="F59" s="130" t="s">
        <v>203</v>
      </c>
      <c r="G59" s="131" t="s">
        <v>39</v>
      </c>
      <c r="H59" s="130" t="s">
        <v>207</v>
      </c>
      <c r="I59" s="148"/>
      <c r="J59" s="138"/>
      <c r="K59" s="137"/>
      <c r="L59" s="139"/>
      <c r="M59" s="7"/>
    </row>
    <row r="60" spans="1:13" x14ac:dyDescent="0.25">
      <c r="A60" s="135"/>
      <c r="B60" s="42"/>
      <c r="C60" s="135"/>
      <c r="D60" s="147"/>
      <c r="E60" s="130" t="s">
        <v>208</v>
      </c>
      <c r="F60" s="130" t="s">
        <v>203</v>
      </c>
      <c r="G60" s="131" t="s">
        <v>209</v>
      </c>
      <c r="H60" s="130" t="s">
        <v>210</v>
      </c>
      <c r="I60" s="148"/>
      <c r="J60" s="138"/>
      <c r="K60" s="137"/>
      <c r="L60" s="139"/>
      <c r="M60" s="7"/>
    </row>
    <row r="61" spans="1:13" x14ac:dyDescent="0.25">
      <c r="A61" s="140"/>
      <c r="B61" s="42"/>
      <c r="C61" s="140"/>
      <c r="D61" s="149"/>
      <c r="E61" s="130" t="s">
        <v>211</v>
      </c>
      <c r="F61" s="130" t="s">
        <v>203</v>
      </c>
      <c r="G61" s="131" t="s">
        <v>209</v>
      </c>
      <c r="H61" s="130" t="s">
        <v>212</v>
      </c>
      <c r="I61" s="150"/>
      <c r="J61" s="142"/>
      <c r="K61" s="137"/>
      <c r="L61" s="143"/>
      <c r="M61" s="9"/>
    </row>
    <row r="62" spans="1:13" x14ac:dyDescent="0.25">
      <c r="A62" s="128">
        <v>16</v>
      </c>
      <c r="B62" s="42"/>
      <c r="C62" s="128" t="s">
        <v>213</v>
      </c>
      <c r="D62" s="129" t="s">
        <v>214</v>
      </c>
      <c r="E62" s="130" t="s">
        <v>202</v>
      </c>
      <c r="F62" s="130" t="s">
        <v>203</v>
      </c>
      <c r="G62" s="131" t="s">
        <v>39</v>
      </c>
      <c r="H62" s="130" t="s">
        <v>204</v>
      </c>
      <c r="I62" s="145" t="s">
        <v>205</v>
      </c>
      <c r="J62" s="151">
        <v>0.4</v>
      </c>
      <c r="K62" s="133" t="s">
        <v>191</v>
      </c>
      <c r="L62" s="152" t="s">
        <v>215</v>
      </c>
      <c r="M62" s="6"/>
    </row>
    <row r="63" spans="1:13" x14ac:dyDescent="0.25">
      <c r="A63" s="135"/>
      <c r="B63" s="42"/>
      <c r="C63" s="135"/>
      <c r="D63" s="136"/>
      <c r="E63" s="130" t="s">
        <v>206</v>
      </c>
      <c r="F63" s="130" t="s">
        <v>203</v>
      </c>
      <c r="G63" s="131" t="s">
        <v>39</v>
      </c>
      <c r="H63" s="130" t="s">
        <v>207</v>
      </c>
      <c r="I63" s="137"/>
      <c r="J63" s="138"/>
      <c r="K63" s="137"/>
      <c r="L63" s="139"/>
      <c r="M63" s="7"/>
    </row>
    <row r="64" spans="1:13" x14ac:dyDescent="0.25">
      <c r="A64" s="135"/>
      <c r="B64" s="42"/>
      <c r="C64" s="135"/>
      <c r="D64" s="136"/>
      <c r="E64" s="130" t="s">
        <v>208</v>
      </c>
      <c r="F64" s="130" t="s">
        <v>203</v>
      </c>
      <c r="G64" s="131" t="s">
        <v>209</v>
      </c>
      <c r="H64" s="130" t="s">
        <v>210</v>
      </c>
      <c r="I64" s="137"/>
      <c r="J64" s="138"/>
      <c r="K64" s="137"/>
      <c r="L64" s="139"/>
      <c r="M64" s="7"/>
    </row>
    <row r="65" spans="1:13" x14ac:dyDescent="0.25">
      <c r="A65" s="140"/>
      <c r="B65" s="42"/>
      <c r="C65" s="140"/>
      <c r="D65" s="141"/>
      <c r="E65" s="130" t="s">
        <v>211</v>
      </c>
      <c r="F65" s="130" t="s">
        <v>203</v>
      </c>
      <c r="G65" s="131" t="s">
        <v>209</v>
      </c>
      <c r="H65" s="130" t="s">
        <v>212</v>
      </c>
      <c r="I65" s="137"/>
      <c r="J65" s="142"/>
      <c r="K65" s="137"/>
      <c r="L65" s="143"/>
      <c r="M65" s="9"/>
    </row>
    <row r="66" spans="1:13" x14ac:dyDescent="0.25">
      <c r="A66" s="153">
        <v>17</v>
      </c>
      <c r="B66" s="42"/>
      <c r="C66" s="153" t="s">
        <v>216</v>
      </c>
      <c r="D66" s="154" t="s">
        <v>217</v>
      </c>
      <c r="E66" s="155" t="s">
        <v>202</v>
      </c>
      <c r="F66" s="155" t="s">
        <v>203</v>
      </c>
      <c r="G66" s="156" t="s">
        <v>39</v>
      </c>
      <c r="H66" s="155" t="s">
        <v>204</v>
      </c>
      <c r="I66" s="157" t="s">
        <v>205</v>
      </c>
      <c r="J66" s="158">
        <v>0.4</v>
      </c>
      <c r="K66" s="159" t="s">
        <v>76</v>
      </c>
      <c r="L66" s="160">
        <v>396.51537499999995</v>
      </c>
      <c r="M66" s="6"/>
    </row>
    <row r="67" spans="1:13" x14ac:dyDescent="0.25">
      <c r="A67" s="161"/>
      <c r="B67" s="42"/>
      <c r="C67" s="161"/>
      <c r="D67" s="162"/>
      <c r="E67" s="155" t="s">
        <v>206</v>
      </c>
      <c r="F67" s="155" t="s">
        <v>203</v>
      </c>
      <c r="G67" s="156" t="s">
        <v>39</v>
      </c>
      <c r="H67" s="155" t="s">
        <v>207</v>
      </c>
      <c r="I67" s="163"/>
      <c r="J67" s="164"/>
      <c r="K67" s="163"/>
      <c r="L67" s="165"/>
      <c r="M67" s="7"/>
    </row>
    <row r="68" spans="1:13" x14ac:dyDescent="0.25">
      <c r="A68" s="161"/>
      <c r="B68" s="42"/>
      <c r="C68" s="161"/>
      <c r="D68" s="162"/>
      <c r="E68" s="155" t="s">
        <v>208</v>
      </c>
      <c r="F68" s="155" t="s">
        <v>203</v>
      </c>
      <c r="G68" s="156" t="s">
        <v>209</v>
      </c>
      <c r="H68" s="155" t="s">
        <v>210</v>
      </c>
      <c r="I68" s="163"/>
      <c r="J68" s="164"/>
      <c r="K68" s="163"/>
      <c r="L68" s="165"/>
      <c r="M68" s="7"/>
    </row>
    <row r="69" spans="1:13" x14ac:dyDescent="0.25">
      <c r="A69" s="166"/>
      <c r="B69" s="42"/>
      <c r="C69" s="166"/>
      <c r="D69" s="167"/>
      <c r="E69" s="155" t="s">
        <v>211</v>
      </c>
      <c r="F69" s="155" t="s">
        <v>203</v>
      </c>
      <c r="G69" s="156" t="s">
        <v>209</v>
      </c>
      <c r="H69" s="155" t="s">
        <v>212</v>
      </c>
      <c r="I69" s="163"/>
      <c r="J69" s="168"/>
      <c r="K69" s="163"/>
      <c r="L69" s="169"/>
      <c r="M69" s="9"/>
    </row>
    <row r="70" spans="1:13" x14ac:dyDescent="0.25">
      <c r="A70" s="153">
        <v>18</v>
      </c>
      <c r="B70" s="42"/>
      <c r="C70" s="153" t="s">
        <v>218</v>
      </c>
      <c r="D70" s="154" t="s">
        <v>219</v>
      </c>
      <c r="E70" s="155" t="s">
        <v>220</v>
      </c>
      <c r="F70" s="155" t="s">
        <v>221</v>
      </c>
      <c r="G70" s="155" t="s">
        <v>222</v>
      </c>
      <c r="H70" s="155" t="s">
        <v>223</v>
      </c>
      <c r="I70" s="156" t="s">
        <v>224</v>
      </c>
      <c r="J70" s="170">
        <v>3.1</v>
      </c>
      <c r="K70" s="159" t="s">
        <v>76</v>
      </c>
      <c r="L70" s="160">
        <v>19629.205224999998</v>
      </c>
      <c r="M70" s="6"/>
    </row>
    <row r="71" spans="1:13" x14ac:dyDescent="0.25">
      <c r="A71" s="161"/>
      <c r="B71" s="42"/>
      <c r="C71" s="161"/>
      <c r="D71" s="162"/>
      <c r="E71" s="155" t="s">
        <v>225</v>
      </c>
      <c r="F71" s="155" t="s">
        <v>221</v>
      </c>
      <c r="G71" s="155" t="s">
        <v>222</v>
      </c>
      <c r="H71" s="155" t="s">
        <v>226</v>
      </c>
      <c r="I71" s="163"/>
      <c r="J71" s="164"/>
      <c r="K71" s="163"/>
      <c r="L71" s="165"/>
      <c r="M71" s="7"/>
    </row>
    <row r="72" spans="1:13" x14ac:dyDescent="0.25">
      <c r="A72" s="161"/>
      <c r="B72" s="42"/>
      <c r="C72" s="161"/>
      <c r="D72" s="162"/>
      <c r="E72" s="155" t="s">
        <v>227</v>
      </c>
      <c r="F72" s="155" t="s">
        <v>221</v>
      </c>
      <c r="G72" s="155" t="s">
        <v>222</v>
      </c>
      <c r="H72" s="155" t="s">
        <v>228</v>
      </c>
      <c r="I72" s="163"/>
      <c r="J72" s="164"/>
      <c r="K72" s="163"/>
      <c r="L72" s="165"/>
      <c r="M72" s="7"/>
    </row>
    <row r="73" spans="1:13" x14ac:dyDescent="0.25">
      <c r="A73" s="166"/>
      <c r="B73" s="42"/>
      <c r="C73" s="166"/>
      <c r="D73" s="167"/>
      <c r="E73" s="155" t="s">
        <v>229</v>
      </c>
      <c r="F73" s="155" t="s">
        <v>221</v>
      </c>
      <c r="G73" s="155" t="s">
        <v>222</v>
      </c>
      <c r="H73" s="155" t="s">
        <v>230</v>
      </c>
      <c r="I73" s="163"/>
      <c r="J73" s="168"/>
      <c r="K73" s="163"/>
      <c r="L73" s="169"/>
      <c r="M73" s="9"/>
    </row>
    <row r="74" spans="1:13" x14ac:dyDescent="0.25">
      <c r="A74" s="153">
        <v>19</v>
      </c>
      <c r="B74" s="42"/>
      <c r="C74" s="153" t="s">
        <v>231</v>
      </c>
      <c r="D74" s="154" t="s">
        <v>232</v>
      </c>
      <c r="E74" s="155" t="s">
        <v>233</v>
      </c>
      <c r="F74" s="155" t="s">
        <v>34</v>
      </c>
      <c r="G74" s="156" t="s">
        <v>234</v>
      </c>
      <c r="H74" s="155" t="s">
        <v>235</v>
      </c>
      <c r="I74" s="171" t="s">
        <v>236</v>
      </c>
      <c r="J74" s="158">
        <v>0.8</v>
      </c>
      <c r="K74" s="159" t="s">
        <v>21</v>
      </c>
      <c r="L74" s="160">
        <v>19309.804725000002</v>
      </c>
      <c r="M74" s="6"/>
    </row>
    <row r="75" spans="1:13" x14ac:dyDescent="0.25">
      <c r="A75" s="161"/>
      <c r="B75" s="42"/>
      <c r="C75" s="161"/>
      <c r="D75" s="162"/>
      <c r="E75" s="155" t="s">
        <v>237</v>
      </c>
      <c r="F75" s="155" t="s">
        <v>34</v>
      </c>
      <c r="G75" s="156" t="s">
        <v>238</v>
      </c>
      <c r="H75" s="155" t="s">
        <v>239</v>
      </c>
      <c r="I75" s="163"/>
      <c r="J75" s="164"/>
      <c r="K75" s="163"/>
      <c r="L75" s="165"/>
      <c r="M75" s="7"/>
    </row>
    <row r="76" spans="1:13" x14ac:dyDescent="0.25">
      <c r="A76" s="161"/>
      <c r="B76" s="42"/>
      <c r="C76" s="161"/>
      <c r="D76" s="162"/>
      <c r="E76" s="155" t="s">
        <v>240</v>
      </c>
      <c r="F76" s="155" t="s">
        <v>34</v>
      </c>
      <c r="G76" s="156" t="s">
        <v>241</v>
      </c>
      <c r="H76" s="155" t="s">
        <v>242</v>
      </c>
      <c r="I76" s="163"/>
      <c r="J76" s="164"/>
      <c r="K76" s="163"/>
      <c r="L76" s="165"/>
      <c r="M76" s="7"/>
    </row>
    <row r="77" spans="1:13" x14ac:dyDescent="0.25">
      <c r="A77" s="166"/>
      <c r="B77" s="42"/>
      <c r="C77" s="166"/>
      <c r="D77" s="167"/>
      <c r="E77" s="155" t="s">
        <v>243</v>
      </c>
      <c r="F77" s="155" t="s">
        <v>34</v>
      </c>
      <c r="G77" s="156" t="s">
        <v>244</v>
      </c>
      <c r="H77" s="155" t="s">
        <v>245</v>
      </c>
      <c r="I77" s="163"/>
      <c r="J77" s="168"/>
      <c r="K77" s="163"/>
      <c r="L77" s="169"/>
      <c r="M77" s="9"/>
    </row>
    <row r="78" spans="1:13" ht="15.75" x14ac:dyDescent="0.25">
      <c r="A78" s="11"/>
      <c r="B78" s="12"/>
      <c r="C78" s="13"/>
      <c r="D78" s="14"/>
      <c r="E78" s="15"/>
      <c r="F78" s="15"/>
      <c r="G78" s="15"/>
      <c r="H78" s="13"/>
      <c r="I78" s="14"/>
      <c r="J78" s="10">
        <f>SUM(J7:J77)</f>
        <v>18.300000000000004</v>
      </c>
      <c r="K78" s="5" t="s">
        <v>246</v>
      </c>
      <c r="L78" s="8">
        <f>SUM(L3:L77)</f>
        <v>236793.62579999998</v>
      </c>
      <c r="M78" s="16"/>
    </row>
    <row r="79" spans="1:13" ht="15.75" x14ac:dyDescent="0.25">
      <c r="A79" s="11"/>
      <c r="B79" s="12"/>
      <c r="C79" s="13"/>
      <c r="D79" s="14"/>
      <c r="E79" s="15"/>
      <c r="F79" s="15"/>
      <c r="G79" s="15"/>
      <c r="H79" s="13"/>
      <c r="I79" s="14"/>
      <c r="J79" s="17"/>
      <c r="K79" s="14"/>
      <c r="L79" s="18"/>
      <c r="M79" s="16"/>
    </row>
    <row r="80" spans="1:13" x14ac:dyDescent="0.25">
      <c r="A80" s="19"/>
      <c r="B80" s="20"/>
      <c r="C80" s="21"/>
      <c r="D80" s="22"/>
      <c r="E80" s="23"/>
      <c r="F80" s="23"/>
      <c r="G80" s="20"/>
      <c r="H80" s="20"/>
      <c r="I80" s="20"/>
      <c r="J80" s="20"/>
      <c r="K80" s="22"/>
      <c r="L80" s="24"/>
      <c r="M80" s="20"/>
    </row>
    <row r="81" spans="1:13" ht="22.5" x14ac:dyDescent="0.3">
      <c r="A81" s="32" t="s">
        <v>247</v>
      </c>
      <c r="B81" s="33"/>
      <c r="C81" s="33"/>
      <c r="D81" s="33"/>
      <c r="E81" s="33"/>
      <c r="F81" s="33"/>
      <c r="G81" s="33"/>
      <c r="H81" s="20"/>
      <c r="I81" s="20"/>
      <c r="J81" s="20"/>
      <c r="K81" s="22"/>
      <c r="L81" s="24"/>
      <c r="M81" s="20"/>
    </row>
    <row r="82" spans="1:13" ht="15.75" x14ac:dyDescent="0.25">
      <c r="A82" s="34" t="s">
        <v>248</v>
      </c>
      <c r="B82" s="35"/>
      <c r="C82" s="34" t="s">
        <v>9</v>
      </c>
      <c r="D82" s="35"/>
      <c r="E82" s="25" t="s">
        <v>10</v>
      </c>
      <c r="F82" s="36" t="s">
        <v>11</v>
      </c>
      <c r="G82" s="37"/>
      <c r="H82" s="26"/>
      <c r="I82" s="27"/>
      <c r="J82" s="28"/>
      <c r="K82" s="27"/>
      <c r="L82" s="27"/>
      <c r="M82" s="27"/>
    </row>
    <row r="83" spans="1:13" ht="20.25" x14ac:dyDescent="0.25">
      <c r="A83" s="38">
        <v>19</v>
      </c>
      <c r="B83" s="39"/>
      <c r="C83" s="40">
        <v>18.300000000000004</v>
      </c>
      <c r="D83" s="41"/>
      <c r="E83" s="29" t="s">
        <v>246</v>
      </c>
      <c r="F83" s="38">
        <v>236793.62579999998</v>
      </c>
      <c r="G83" s="39"/>
      <c r="H83" s="30"/>
      <c r="I83" s="30"/>
      <c r="J83" s="30"/>
      <c r="K83" s="31"/>
      <c r="L83" s="30"/>
      <c r="M83" s="30"/>
    </row>
  </sheetData>
  <mergeCells count="67">
    <mergeCell ref="I2:I5"/>
    <mergeCell ref="I6:I9"/>
    <mergeCell ref="A2:A5"/>
    <mergeCell ref="B2:B77"/>
    <mergeCell ref="C2:C5"/>
    <mergeCell ref="D2:D5"/>
    <mergeCell ref="A6:A9"/>
    <mergeCell ref="C6:C9"/>
    <mergeCell ref="D6:D9"/>
    <mergeCell ref="A10:A13"/>
    <mergeCell ref="C10:C13"/>
    <mergeCell ref="D10:D13"/>
    <mergeCell ref="A14:A17"/>
    <mergeCell ref="C14:C17"/>
    <mergeCell ref="D14:D17"/>
    <mergeCell ref="A18:A21"/>
    <mergeCell ref="C18:C21"/>
    <mergeCell ref="D18:D21"/>
    <mergeCell ref="A22:A25"/>
    <mergeCell ref="C22:C25"/>
    <mergeCell ref="D22:D25"/>
    <mergeCell ref="A26:A29"/>
    <mergeCell ref="C26:C29"/>
    <mergeCell ref="D26:D29"/>
    <mergeCell ref="A30:A33"/>
    <mergeCell ref="C30:C33"/>
    <mergeCell ref="D30:D33"/>
    <mergeCell ref="A34:A37"/>
    <mergeCell ref="C34:C37"/>
    <mergeCell ref="D34:D37"/>
    <mergeCell ref="A38:A41"/>
    <mergeCell ref="C38:C41"/>
    <mergeCell ref="D38:D41"/>
    <mergeCell ref="A42:A45"/>
    <mergeCell ref="C42:C45"/>
    <mergeCell ref="D42:D45"/>
    <mergeCell ref="A46:A49"/>
    <mergeCell ref="C46:C49"/>
    <mergeCell ref="D46:D49"/>
    <mergeCell ref="A50:A53"/>
    <mergeCell ref="C50:C53"/>
    <mergeCell ref="D50:D53"/>
    <mergeCell ref="A54:A57"/>
    <mergeCell ref="C54:C57"/>
    <mergeCell ref="D54:D57"/>
    <mergeCell ref="A58:A61"/>
    <mergeCell ref="C58:C61"/>
    <mergeCell ref="D58:D61"/>
    <mergeCell ref="A62:A65"/>
    <mergeCell ref="C62:C65"/>
    <mergeCell ref="D62:D65"/>
    <mergeCell ref="A66:A69"/>
    <mergeCell ref="C66:C69"/>
    <mergeCell ref="D66:D69"/>
    <mergeCell ref="A70:A73"/>
    <mergeCell ref="C70:C73"/>
    <mergeCell ref="D70:D73"/>
    <mergeCell ref="A74:A77"/>
    <mergeCell ref="C74:C77"/>
    <mergeCell ref="D74:D77"/>
    <mergeCell ref="A81:G81"/>
    <mergeCell ref="A82:B82"/>
    <mergeCell ref="C82:D82"/>
    <mergeCell ref="F82:G82"/>
    <mergeCell ref="A83:B83"/>
    <mergeCell ref="C83:D83"/>
    <mergeCell ref="F83:G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Halleson Epiekome</dc:creator>
  <cp:lastModifiedBy>USER</cp:lastModifiedBy>
  <dcterms:created xsi:type="dcterms:W3CDTF">2026-08-24T14:48:20Z</dcterms:created>
  <dcterms:modified xsi:type="dcterms:W3CDTF">2026-08-28T08:42:59Z</dcterms:modified>
</cp:coreProperties>
</file>